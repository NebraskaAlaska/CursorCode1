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wpi0-my.sharepoint.com/personal/sbellali_wpi_edu/Documents/Research Documents - Soumiya Bellali/Literature Documents/"/>
    </mc:Choice>
  </mc:AlternateContent>
  <xr:revisionPtr revIDLastSave="0" documentId="8_{C29E51B1-51D7-0B4D-9F26-792DCF745FDE}" xr6:coauthVersionLast="47" xr6:coauthVersionMax="47" xr10:uidLastSave="{00000000-0000-0000-0000-000000000000}"/>
  <bookViews>
    <workbookView xWindow="1080" yWindow="760" windowWidth="33480" windowHeight="19840" xr2:uid="{1A4C4D3B-2219-ED4A-9633-E73E083B7246}"/>
  </bookViews>
  <sheets>
    <sheet name="CFA-MK-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" i="1" l="1"/>
  <c r="C64" i="1" l="1"/>
  <c r="E52" i="1"/>
  <c r="G52" i="1" s="1"/>
  <c r="C47" i="1"/>
  <c r="I42" i="1" s="1"/>
  <c r="C46" i="1"/>
  <c r="E45" i="1"/>
  <c r="E55" i="1" s="1"/>
  <c r="G55" i="1" s="1"/>
  <c r="E44" i="1"/>
  <c r="E54" i="1" s="1"/>
  <c r="E43" i="1"/>
  <c r="E53" i="1" s="1"/>
  <c r="G53" i="1" s="1"/>
  <c r="E42" i="1"/>
  <c r="I41" i="1"/>
  <c r="E41" i="1"/>
  <c r="E51" i="1" s="1"/>
  <c r="G51" i="1" s="1"/>
  <c r="E40" i="1"/>
  <c r="S12" i="1" s="1"/>
  <c r="E39" i="1"/>
  <c r="E49" i="1" s="1"/>
  <c r="G49" i="1" s="1"/>
  <c r="Q12" i="1"/>
  <c r="J12" i="1"/>
  <c r="D82" i="1" s="1"/>
  <c r="L8" i="1"/>
  <c r="L4" i="1"/>
  <c r="J4" i="1"/>
  <c r="I4" i="1"/>
  <c r="H4" i="1"/>
  <c r="G4" i="1"/>
  <c r="F4" i="1"/>
  <c r="E4" i="1"/>
  <c r="D4" i="1"/>
  <c r="C4" i="1"/>
  <c r="G39" i="1" s="1"/>
  <c r="I28" i="1" l="1"/>
  <c r="S11" i="1"/>
  <c r="S14" i="1" s="1"/>
  <c r="G41" i="1"/>
  <c r="I43" i="1"/>
  <c r="G42" i="1"/>
  <c r="I39" i="1"/>
  <c r="E46" i="1"/>
  <c r="E50" i="1"/>
  <c r="G50" i="1" s="1"/>
  <c r="C66" i="1"/>
  <c r="G43" i="1"/>
  <c r="G40" i="1"/>
  <c r="Q11" i="1"/>
  <c r="G44" i="1"/>
  <c r="G45" i="1"/>
  <c r="G54" i="1"/>
  <c r="M4" i="1"/>
  <c r="U12" i="1"/>
  <c r="E56" i="1" l="1"/>
  <c r="G56" i="1" s="1"/>
  <c r="I40" i="1"/>
  <c r="C67" i="1"/>
  <c r="C69" i="1" s="1"/>
  <c r="U11" i="1"/>
  <c r="G46" i="1"/>
  <c r="D75" i="1"/>
  <c r="D83" i="1"/>
  <c r="D76" i="1"/>
  <c r="J17" i="1" l="1"/>
  <c r="J33" i="1"/>
  <c r="I35" i="1" s="1"/>
  <c r="D77" i="1"/>
  <c r="D79" i="1" s="1"/>
  <c r="D80" i="1" s="1"/>
  <c r="J18" i="1" s="1"/>
  <c r="J15" i="1"/>
  <c r="D85" i="1"/>
  <c r="J19" i="1" s="1"/>
  <c r="M17" i="1" l="1"/>
  <c r="W12" i="1" s="1"/>
  <c r="O35" i="1"/>
  <c r="Q19" i="1" s="1"/>
  <c r="K41" i="1"/>
  <c r="O33" i="1"/>
  <c r="M15" i="1"/>
  <c r="U14" i="1" s="1"/>
  <c r="K43" i="1"/>
  <c r="K42" i="1"/>
  <c r="K40" i="1"/>
  <c r="J16" i="1"/>
  <c r="K39" i="1" s="1"/>
  <c r="L40" i="1" l="1"/>
  <c r="G28" i="1"/>
  <c r="M13" i="1"/>
  <c r="W11" i="1" l="1"/>
  <c r="W13" i="1" s="1"/>
  <c r="U13" i="1"/>
  <c r="Q13" i="1"/>
  <c r="Y9" i="1" l="1"/>
  <c r="Q25" i="1" s="1"/>
  <c r="Q14" i="1"/>
  <c r="Q9" i="1" s="1"/>
  <c r="Q22" i="1" s="1"/>
  <c r="AB9" i="1"/>
  <c r="U15" i="1"/>
  <c r="S9" i="1" s="1"/>
  <c r="Q23" i="1" s="1"/>
  <c r="V9" i="1"/>
  <c r="Q24" i="1" s="1"/>
</calcChain>
</file>

<file path=xl/sharedStrings.xml><?xml version="1.0" encoding="utf-8"?>
<sst xmlns="http://schemas.openxmlformats.org/spreadsheetml/2006/main" count="231" uniqueCount="139">
  <si>
    <t>Chemical Composition of CFA</t>
  </si>
  <si>
    <r>
      <t>SiO</t>
    </r>
    <r>
      <rPr>
        <sz val="8"/>
        <color theme="1"/>
        <rFont val="Aptos Narrow"/>
        <family val="2"/>
        <scheme val="minor"/>
      </rPr>
      <t>2</t>
    </r>
  </si>
  <si>
    <r>
      <t>Al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sz val="8"/>
        <color theme="1"/>
        <rFont val="Aptos Narrow"/>
        <family val="2"/>
        <scheme val="minor"/>
      </rPr>
      <t>3</t>
    </r>
  </si>
  <si>
    <r>
      <t>Fe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sz val="8"/>
        <color theme="1"/>
        <rFont val="Aptos Narrow"/>
        <family val="2"/>
        <scheme val="minor"/>
      </rPr>
      <t>3</t>
    </r>
  </si>
  <si>
    <t>MgO</t>
  </si>
  <si>
    <t>CaO</t>
  </si>
  <si>
    <r>
      <t>SO</t>
    </r>
    <r>
      <rPr>
        <sz val="8"/>
        <color theme="1"/>
        <rFont val="Aptos Narrow"/>
        <family val="2"/>
        <scheme val="minor"/>
      </rPr>
      <t>3</t>
    </r>
  </si>
  <si>
    <r>
      <t>K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</si>
  <si>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Na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</si>
  <si>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t>Moisture</t>
  </si>
  <si>
    <t>LOI</t>
  </si>
  <si>
    <t xml:space="preserve">Total </t>
  </si>
  <si>
    <t xml:space="preserve">Weight (%) </t>
  </si>
  <si>
    <t>Chemical Composition of MK</t>
  </si>
  <si>
    <t>Total Mix</t>
    <phoneticPr fontId="0" type="noConversion"/>
  </si>
  <si>
    <t xml:space="preserve">Activator Solution </t>
    <phoneticPr fontId="0" type="noConversion"/>
  </si>
  <si>
    <t>Molar Si/Al</t>
    <phoneticPr fontId="0" type="noConversion"/>
  </si>
  <si>
    <t>Molar ratio Na/Si</t>
    <phoneticPr fontId="0" type="noConversion"/>
  </si>
  <si>
    <r>
      <t>Molar Ratio H2O/Na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O</t>
    </r>
  </si>
  <si>
    <t>Si/Na</t>
    <phoneticPr fontId="0" type="noConversion"/>
  </si>
  <si>
    <t>Si/Al</t>
    <phoneticPr fontId="0" type="noConversion"/>
  </si>
  <si>
    <r>
      <t>Na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O/Raw Material (wt.%)</t>
    </r>
  </si>
  <si>
    <t xml:space="preserve">MK Mass Assumption </t>
  </si>
  <si>
    <t>g</t>
  </si>
  <si>
    <r>
      <t>SiO</t>
    </r>
    <r>
      <rPr>
        <vertAlign val="subscript"/>
        <sz val="11"/>
        <color indexed="8"/>
        <rFont val="Calibri"/>
        <family val="2"/>
      </rPr>
      <t>2</t>
    </r>
  </si>
  <si>
    <r>
      <t>Al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O</t>
    </r>
    <r>
      <rPr>
        <vertAlign val="subscript"/>
        <sz val="11"/>
        <color indexed="8"/>
        <rFont val="Calibri"/>
        <family val="2"/>
      </rPr>
      <t>3</t>
    </r>
  </si>
  <si>
    <r>
      <t>Na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O</t>
    </r>
  </si>
  <si>
    <t>H2O</t>
    <phoneticPr fontId="0" type="noConversion"/>
  </si>
  <si>
    <t>Chemical Composition of Sodium Silicate solution</t>
  </si>
  <si>
    <t xml:space="preserve">CFA Mass Assumuption </t>
  </si>
  <si>
    <t>Requirements:</t>
  </si>
  <si>
    <t xml:space="preserve">Fly Ash </t>
    <phoneticPr fontId="0" type="noConversion"/>
  </si>
  <si>
    <t>Fly Ash</t>
    <phoneticPr fontId="0" type="noConversion"/>
  </si>
  <si>
    <t>Sodium Silicate</t>
    <phoneticPr fontId="0" type="noConversion"/>
  </si>
  <si>
    <r>
      <t>H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</si>
  <si>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t xml:space="preserve"> Mass Assumption </t>
  </si>
  <si>
    <t>Amount of Sodium Silicate</t>
  </si>
  <si>
    <t>Metakaolin</t>
    <phoneticPr fontId="0" type="noConversion"/>
  </si>
  <si>
    <t>Added Water</t>
    <phoneticPr fontId="0" type="noConversion"/>
  </si>
  <si>
    <t>grams</t>
  </si>
  <si>
    <t xml:space="preserve">Sodium Silicate </t>
    <phoneticPr fontId="0" type="noConversion"/>
  </si>
  <si>
    <t>TOTAL</t>
    <phoneticPr fontId="0" type="noConversion"/>
  </si>
  <si>
    <r>
      <t>Chemical Formula: Na2O.(SiO2)</t>
    </r>
    <r>
      <rPr>
        <i/>
        <vertAlign val="subscript"/>
        <sz val="11"/>
        <color theme="1"/>
        <rFont val="Aptos Narrow"/>
        <family val="2"/>
        <scheme val="minor"/>
      </rPr>
      <t>3.33</t>
    </r>
    <r>
      <rPr>
        <i/>
        <sz val="11"/>
        <color theme="1"/>
        <rFont val="Aptos Narrow"/>
        <family val="2"/>
        <scheme val="minor"/>
      </rPr>
      <t>. (H2O)x</t>
    </r>
  </si>
  <si>
    <t>Amount Sodium Hydroxide</t>
  </si>
  <si>
    <t xml:space="preserve">TOTAL </t>
    <phoneticPr fontId="0" type="noConversion"/>
  </si>
  <si>
    <t>NaOH</t>
    <phoneticPr fontId="0" type="noConversion"/>
  </si>
  <si>
    <t>Chemical Composition of Sodium Hydroxide</t>
  </si>
  <si>
    <r>
      <t>Mass Sodium Silicate H</t>
    </r>
    <r>
      <rPr>
        <b/>
        <sz val="8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</t>
    </r>
  </si>
  <si>
    <t>g</t>
    <phoneticPr fontId="0" type="noConversion"/>
  </si>
  <si>
    <t>NaOH</t>
  </si>
  <si>
    <r>
      <t>Mass of Sodium Silicate SiO</t>
    </r>
    <r>
      <rPr>
        <b/>
        <sz val="8"/>
        <color theme="1"/>
        <rFont val="Aptos Narrow"/>
        <family val="2"/>
        <scheme val="minor"/>
      </rPr>
      <t>2</t>
    </r>
  </si>
  <si>
    <t>Amount of Additional Water</t>
  </si>
  <si>
    <r>
      <t>Mass of Sodium Silicate  Na</t>
    </r>
    <r>
      <rPr>
        <b/>
        <sz val="8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</t>
    </r>
  </si>
  <si>
    <t>Chemical Formaula: NaOH</t>
  </si>
  <si>
    <t xml:space="preserve">Mass of Sodium Hydroxide </t>
  </si>
  <si>
    <t>Mass of Added Water</t>
  </si>
  <si>
    <t xml:space="preserve">Mass ratio of H2O to Raw Material </t>
    <phoneticPr fontId="0" type="noConversion"/>
  </si>
  <si>
    <t>Where</t>
  </si>
  <si>
    <t xml:space="preserve">Modulus of mixed alkali activator </t>
    <phoneticPr fontId="0" type="noConversion"/>
  </si>
  <si>
    <r>
      <t>M ratio of SiO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/Na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O</t>
    </r>
  </si>
  <si>
    <r>
      <t>SiO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= Silicon Dioxide</t>
    </r>
  </si>
  <si>
    <t xml:space="preserve"> Desired Ratio of Mixed Alkali Activator (M)</t>
  </si>
  <si>
    <t xml:space="preserve">Desired Content of Activator   (%) </t>
  </si>
  <si>
    <t xml:space="preserve">Content of Mixed activator </t>
    <phoneticPr fontId="0" type="noConversion"/>
  </si>
  <si>
    <r>
      <t>% mass portion of Na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 xml:space="preserve">O to Raw Material </t>
    </r>
  </si>
  <si>
    <r>
      <t>Al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sz val="8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= Aluminum Oxide </t>
    </r>
  </si>
  <si>
    <t>Geopolymer Paste molar ratio of Si/Al</t>
    <phoneticPr fontId="0" type="noConversion"/>
  </si>
  <si>
    <r>
      <t>Fe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sz val="8"/>
        <color theme="1"/>
        <rFont val="Aptos Narrow"/>
        <family val="2"/>
        <scheme val="minor"/>
      </rPr>
      <t xml:space="preserve">3 </t>
    </r>
    <r>
      <rPr>
        <sz val="11"/>
        <color theme="1"/>
        <rFont val="Aptos Narrow"/>
        <family val="2"/>
        <scheme val="minor"/>
      </rPr>
      <t>= Iron Oxide</t>
    </r>
  </si>
  <si>
    <r>
      <t>SiO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/Na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</si>
  <si>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Na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O </t>
    </r>
    <r>
      <rPr>
        <sz val="7"/>
        <color theme="1"/>
        <rFont val="Aptos Narrow"/>
        <family val="2"/>
        <scheme val="minor"/>
      </rPr>
      <t>Activator</t>
    </r>
    <r>
      <rPr>
        <sz val="11"/>
        <color theme="1"/>
        <rFont val="Aptos Narrow"/>
        <family val="2"/>
        <scheme val="minor"/>
      </rPr>
      <t xml:space="preserve"> to Na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O </t>
    </r>
    <r>
      <rPr>
        <sz val="7"/>
        <color theme="1"/>
        <rFont val="Aptos Narrow"/>
        <family val="2"/>
        <scheme val="minor"/>
      </rPr>
      <t>CFA</t>
    </r>
  </si>
  <si>
    <t>Geopolymer paste molar Ratio Na/Si</t>
    <phoneticPr fontId="0" type="noConversion"/>
  </si>
  <si>
    <t xml:space="preserve">MgO = Magnesium Oxide </t>
  </si>
  <si>
    <r>
      <t xml:space="preserve">Note: If CFA assumed 100g, Na2O in activator= </t>
    </r>
    <r>
      <rPr>
        <i/>
        <sz val="11"/>
        <color indexed="8"/>
        <rFont val="Calibri"/>
        <family val="2"/>
      </rPr>
      <t>7.26</t>
    </r>
    <r>
      <rPr>
        <i/>
        <sz val="11"/>
        <color theme="1"/>
        <rFont val="Aptos Narrow"/>
        <family val="2"/>
        <scheme val="minor"/>
      </rPr>
      <t>g</t>
    </r>
  </si>
  <si>
    <r>
      <t>Activator Solution H2O/Na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O</t>
    </r>
  </si>
  <si>
    <t>CaO = Calcium Oxide</t>
  </si>
  <si>
    <t xml:space="preserve"> Actual Ratio of  Mixed Alkali Activator (M)</t>
  </si>
  <si>
    <t xml:space="preserve">Actual Content of Activator   (%) </t>
  </si>
  <si>
    <r>
      <t>Activator Solution SiO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/Na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O</t>
    </r>
  </si>
  <si>
    <r>
      <t>SO</t>
    </r>
    <r>
      <rPr>
        <sz val="8"/>
        <color theme="1"/>
        <rFont val="Aptos Narrow"/>
        <family val="2"/>
        <scheme val="minor"/>
      </rPr>
      <t xml:space="preserve">3 </t>
    </r>
    <r>
      <rPr>
        <sz val="11"/>
        <color theme="1"/>
        <rFont val="Aptos Narrow"/>
        <family val="2"/>
        <scheme val="minor"/>
      </rPr>
      <t>= Sulfur Trioxide</t>
    </r>
  </si>
  <si>
    <r>
      <t>K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O = Potassium Oxide </t>
    </r>
  </si>
  <si>
    <r>
      <t>Na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O = Sodium Oxide </t>
    </r>
  </si>
  <si>
    <t xml:space="preserve">LOI = Loss of Ignition </t>
  </si>
  <si>
    <t>NaOH = sodium Hydroxide</t>
  </si>
  <si>
    <t>Calculation of Sodium Hydroxide Required</t>
  </si>
  <si>
    <t>Calculation of Water Required</t>
  </si>
  <si>
    <r>
      <t>Na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CO</t>
    </r>
    <r>
      <rPr>
        <sz val="8"/>
        <color theme="1"/>
        <rFont val="Aptos Narrow"/>
        <family val="2"/>
        <scheme val="minor"/>
      </rPr>
      <t xml:space="preserve">3 </t>
    </r>
    <r>
      <rPr>
        <sz val="11"/>
        <color theme="1"/>
        <rFont val="Aptos Narrow"/>
        <family val="2"/>
        <scheme val="minor"/>
      </rPr>
      <t xml:space="preserve">= sodium carbonate  </t>
    </r>
  </si>
  <si>
    <r>
      <t>H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 = water</t>
    </r>
  </si>
  <si>
    <t>Required Na2O for sodium Hydroxide=</t>
  </si>
  <si>
    <t>moles</t>
  </si>
  <si>
    <t>Required water added =</t>
  </si>
  <si>
    <t xml:space="preserve">Note: CFA Moisture = 0.11% </t>
  </si>
  <si>
    <t>Required NaOH =</t>
  </si>
  <si>
    <t>Check Ratio of water to CFA</t>
  </si>
  <si>
    <t xml:space="preserve">so this works </t>
  </si>
  <si>
    <t>For all Elements</t>
  </si>
  <si>
    <t xml:space="preserve">For Components of CFA </t>
  </si>
  <si>
    <r>
      <t>For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Activator </t>
    </r>
  </si>
  <si>
    <t>Element Atomic Mass (g/mol)</t>
  </si>
  <si>
    <t>Total Atomic Mass (g/mol)</t>
  </si>
  <si>
    <t>Atomic Weight (moles)</t>
  </si>
  <si>
    <t xml:space="preserve">Total Atomic Mass (g/mol) </t>
    <phoneticPr fontId="0" type="noConversion"/>
  </si>
  <si>
    <t>Si</t>
  </si>
  <si>
    <r>
      <t>Check that ratio greater than 3.2</t>
    </r>
    <r>
      <rPr>
        <i/>
        <sz val="11"/>
        <color indexed="8"/>
        <rFont val="Calibri"/>
        <family val="2"/>
      </rPr>
      <t xml:space="preserve"> for sodium silicate (listed from MSDS)</t>
    </r>
  </si>
  <si>
    <t>O</t>
  </si>
  <si>
    <t xml:space="preserve">so this is correct </t>
  </si>
  <si>
    <t>Al</t>
  </si>
  <si>
    <t>Fe</t>
  </si>
  <si>
    <t>Mg</t>
  </si>
  <si>
    <r>
      <t>Na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CO</t>
    </r>
    <r>
      <rPr>
        <sz val="8"/>
        <color theme="1"/>
        <rFont val="Aptos Narrow"/>
        <family val="2"/>
        <scheme val="minor"/>
      </rPr>
      <t>3</t>
    </r>
  </si>
  <si>
    <t>Ca</t>
  </si>
  <si>
    <t>S</t>
  </si>
  <si>
    <t>K</t>
  </si>
  <si>
    <t>Na</t>
  </si>
  <si>
    <r>
      <t xml:space="preserve">For Components of </t>
    </r>
    <r>
      <rPr>
        <b/>
        <sz val="11"/>
        <color indexed="8"/>
        <rFont val="Calibri"/>
        <family val="2"/>
      </rPr>
      <t>MK</t>
    </r>
  </si>
  <si>
    <t>H</t>
  </si>
  <si>
    <t>C</t>
  </si>
  <si>
    <t>Design mix (desired)</t>
  </si>
  <si>
    <t>activator</t>
  </si>
  <si>
    <t>[SiO2]/[Na2O]</t>
  </si>
  <si>
    <t>Molar</t>
  </si>
  <si>
    <t>water</t>
  </si>
  <si>
    <t>H2O/Raw Material</t>
    <phoneticPr fontId="0" type="noConversion"/>
  </si>
  <si>
    <t>wt</t>
  </si>
  <si>
    <t>Na2O</t>
  </si>
  <si>
    <t>Na2O/Raw Material</t>
    <phoneticPr fontId="0" type="noConversion"/>
  </si>
  <si>
    <t xml:space="preserve">Raw Material </t>
  </si>
  <si>
    <t>Na2O total</t>
  </si>
  <si>
    <t>Mole</t>
  </si>
  <si>
    <t>[SiO2]</t>
  </si>
  <si>
    <t>Sodium silicate solution</t>
  </si>
  <si>
    <t>[Na2O] total</t>
  </si>
  <si>
    <t>[Na2O] from silicate solution</t>
  </si>
  <si>
    <t>[Na2O] from NaOH</t>
  </si>
  <si>
    <t>[NaOH] mole</t>
  </si>
  <si>
    <t>Wt of NaOH</t>
  </si>
  <si>
    <t>H2O</t>
  </si>
  <si>
    <t>total water</t>
  </si>
  <si>
    <t>H2O from silicate solution</t>
  </si>
  <si>
    <t>Extra water to be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</si>
</sst>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vertAlign val="subscript"/>
      <sz val="11"/>
      <color indexed="8"/>
      <name val="Calibri"/>
      <family val="2"/>
    </font>
    <font>
      <sz val="11"/>
      <color indexed="8"/>
      <name val="Calibri"/>
      <family val="2"/>
    </font>
    <font>
      <i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i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2" fontId="0" fillId="0" borderId="20" xfId="0" applyNumberFormat="1" applyBorder="1"/>
    <xf numFmtId="2" fontId="0" fillId="0" borderId="21" xfId="0" applyNumberFormat="1" applyBorder="1"/>
    <xf numFmtId="164" fontId="0" fillId="0" borderId="0" xfId="0" applyNumberFormat="1"/>
    <xf numFmtId="0" fontId="0" fillId="0" borderId="22" xfId="0" applyBorder="1"/>
    <xf numFmtId="0" fontId="5" fillId="0" borderId="0" xfId="0" applyFont="1"/>
    <xf numFmtId="0" fontId="0" fillId="0" borderId="25" xfId="0" applyBorder="1"/>
    <xf numFmtId="164" fontId="0" fillId="0" borderId="3" xfId="0" applyNumberFormat="1" applyBorder="1"/>
    <xf numFmtId="2" fontId="0" fillId="0" borderId="0" xfId="0" applyNumberFormat="1"/>
    <xf numFmtId="2" fontId="0" fillId="0" borderId="9" xfId="0" applyNumberFormat="1" applyBorder="1"/>
    <xf numFmtId="2" fontId="0" fillId="0" borderId="11" xfId="0" applyNumberFormat="1" applyBorder="1"/>
    <xf numFmtId="164" fontId="0" fillId="0" borderId="10" xfId="0" applyNumberFormat="1" applyBorder="1"/>
    <xf numFmtId="0" fontId="0" fillId="3" borderId="29" xfId="0" applyFill="1" applyBorder="1"/>
    <xf numFmtId="0" fontId="0" fillId="3" borderId="30" xfId="0" applyFill="1" applyBorder="1"/>
    <xf numFmtId="0" fontId="0" fillId="4" borderId="31" xfId="0" applyFill="1" applyBorder="1" applyAlignment="1">
      <alignment horizontal="left"/>
    </xf>
    <xf numFmtId="0" fontId="0" fillId="4" borderId="7" xfId="0" applyFill="1" applyBorder="1"/>
    <xf numFmtId="0" fontId="0" fillId="4" borderId="24" xfId="0" applyFill="1" applyBorder="1"/>
    <xf numFmtId="0" fontId="0" fillId="0" borderId="20" xfId="0" applyBorder="1"/>
    <xf numFmtId="0" fontId="0" fillId="3" borderId="34" xfId="0" applyFill="1" applyBorder="1"/>
    <xf numFmtId="0" fontId="0" fillId="3" borderId="35" xfId="0" applyFill="1" applyBorder="1"/>
    <xf numFmtId="0" fontId="0" fillId="4" borderId="36" xfId="0" applyFill="1" applyBorder="1" applyAlignment="1">
      <alignment horizontal="left"/>
    </xf>
    <xf numFmtId="0" fontId="0" fillId="4" borderId="37" xfId="0" applyFill="1" applyBorder="1"/>
    <xf numFmtId="0" fontId="0" fillId="4" borderId="38" xfId="0" applyFill="1" applyBorder="1"/>
    <xf numFmtId="2" fontId="0" fillId="4" borderId="31" xfId="0" applyNumberFormat="1" applyFill="1" applyBorder="1" applyAlignment="1">
      <alignment horizontal="left"/>
    </xf>
    <xf numFmtId="0" fontId="0" fillId="3" borderId="46" xfId="0" applyFill="1" applyBorder="1"/>
    <xf numFmtId="0" fontId="0" fillId="3" borderId="47" xfId="0" applyFill="1" applyBorder="1"/>
    <xf numFmtId="2" fontId="0" fillId="4" borderId="12" xfId="0" applyNumberFormat="1" applyFill="1" applyBorder="1" applyAlignment="1">
      <alignment horizontal="left"/>
    </xf>
    <xf numFmtId="0" fontId="0" fillId="4" borderId="48" xfId="0" applyFill="1" applyBorder="1"/>
    <xf numFmtId="0" fontId="0" fillId="4" borderId="49" xfId="0" applyFill="1" applyBorder="1"/>
    <xf numFmtId="0" fontId="0" fillId="3" borderId="50" xfId="0" applyFill="1" applyBorder="1"/>
    <xf numFmtId="2" fontId="5" fillId="0" borderId="0" xfId="0" applyNumberFormat="1" applyFont="1"/>
    <xf numFmtId="0" fontId="0" fillId="0" borderId="0" xfId="0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43" xfId="0" applyBorder="1"/>
    <xf numFmtId="0" fontId="0" fillId="0" borderId="29" xfId="0" applyBorder="1"/>
    <xf numFmtId="0" fontId="0" fillId="0" borderId="60" xfId="0" applyBorder="1"/>
    <xf numFmtId="0" fontId="0" fillId="0" borderId="61" xfId="0" applyBorder="1"/>
    <xf numFmtId="0" fontId="0" fillId="0" borderId="2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46" xfId="0" applyBorder="1"/>
    <xf numFmtId="0" fontId="0" fillId="0" borderId="62" xfId="0" applyBorder="1"/>
    <xf numFmtId="0" fontId="0" fillId="0" borderId="31" xfId="0" applyBorder="1"/>
    <xf numFmtId="0" fontId="0" fillId="0" borderId="57" xfId="0" applyBorder="1"/>
    <xf numFmtId="0" fontId="11" fillId="0" borderId="0" xfId="0" applyFont="1"/>
    <xf numFmtId="0" fontId="0" fillId="5" borderId="0" xfId="0" applyFill="1"/>
    <xf numFmtId="9" fontId="0" fillId="5" borderId="0" xfId="0" applyNumberFormat="1" applyFill="1"/>
    <xf numFmtId="9" fontId="0" fillId="0" borderId="0" xfId="0" applyNumberFormat="1"/>
    <xf numFmtId="10" fontId="0" fillId="5" borderId="0" xfId="0" applyNumberFormat="1" applyFill="1"/>
    <xf numFmtId="0" fontId="12" fillId="0" borderId="0" xfId="0" applyFont="1"/>
    <xf numFmtId="49" fontId="0" fillId="0" borderId="0" xfId="0" applyNumberFormat="1" applyAlignment="1">
      <alignment wrapText="1"/>
    </xf>
    <xf numFmtId="0" fontId="13" fillId="0" borderId="0" xfId="0" applyFont="1"/>
    <xf numFmtId="0" fontId="13" fillId="0" borderId="21" xfId="0" applyFont="1" applyBorder="1"/>
    <xf numFmtId="0" fontId="13" fillId="5" borderId="0" xfId="0" applyFont="1" applyFill="1"/>
    <xf numFmtId="0" fontId="13" fillId="0" borderId="0" xfId="0" applyFont="1" applyAlignment="1">
      <alignment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0" xfId="0"/>
    <xf numFmtId="0" fontId="0" fillId="0" borderId="21" xfId="0" applyBorder="1"/>
    <xf numFmtId="0" fontId="1" fillId="2" borderId="57" xfId="0" applyFont="1" applyFill="1" applyBorder="1" applyAlignment="1">
      <alignment wrapText="1"/>
    </xf>
    <xf numFmtId="0" fontId="1" fillId="2" borderId="53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0" xfId="0" applyFont="1"/>
    <xf numFmtId="0" fontId="0" fillId="2" borderId="54" xfId="0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3" borderId="26" xfId="0" applyFill="1" applyBorder="1"/>
    <xf numFmtId="0" fontId="0" fillId="3" borderId="27" xfId="0" applyFill="1" applyBorder="1"/>
    <xf numFmtId="2" fontId="0" fillId="4" borderId="28" xfId="0" applyNumberForma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3" xfId="0" applyFont="1" applyBorder="1"/>
    <xf numFmtId="0" fontId="1" fillId="0" borderId="15" xfId="0" applyFont="1" applyBorder="1"/>
    <xf numFmtId="0" fontId="1" fillId="0" borderId="2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29</xdr:row>
      <xdr:rowOff>165100</xdr:rowOff>
    </xdr:from>
    <xdr:ext cx="4260850" cy="43088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20A3A9-6BB4-6C42-AA54-B4B135067B32}"/>
            </a:ext>
          </a:extLst>
        </xdr:cNvPr>
        <xdr:cNvSpPr txBox="1"/>
      </xdr:nvSpPr>
      <xdr:spPr>
        <a:xfrm>
          <a:off x="5822950" y="6083300"/>
          <a:ext cx="4260850" cy="4308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0" i="0">
              <a:latin typeface="Cambria Math"/>
            </a:rPr>
            <a:t>2.067=  〖𝑆𝑖𝑂_2〗_(𝑆𝑜𝑑𝑖𝑢𝑚 𝑆𝑖𝑙𝑖𝑐𝑎𝑡𝑒)/(〖〖𝑁𝑎〗_2 𝑂〗_(𝑆𝑜𝑑𝑖𝑢𝑚 𝑆𝑖𝑙𝑖𝑐𝑎𝑡𝑒)+〖〖𝑁𝑎〗_2 𝑂〗_(𝑆𝑜𝑑𝑖𝑢𝑚 𝐻𝑦𝑑𝑟𝑜𝑥𝑖𝑑𝑒) )</a:t>
          </a:r>
          <a:endParaRPr lang="en-US" sz="1100"/>
        </a:p>
      </xdr:txBody>
    </xdr:sp>
    <xdr:clientData/>
  </xdr:oneCellAnchor>
  <xdr:oneCellAnchor>
    <xdr:from>
      <xdr:col>7</xdr:col>
      <xdr:colOff>400050</xdr:colOff>
      <xdr:row>32</xdr:row>
      <xdr:rowOff>190500</xdr:rowOff>
    </xdr:from>
    <xdr:ext cx="137795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4B368D-5FC8-4C4A-A66A-CEAD84FAB8A0}"/>
                </a:ext>
              </a:extLst>
            </xdr:cNvPr>
            <xdr:cNvSpPr txBox="1"/>
          </xdr:nvSpPr>
          <xdr:spPr>
            <a:xfrm>
              <a:off x="6902450" y="6705600"/>
              <a:ext cx="13779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𝑁𝑎𝑂𝐻</m:t>
                    </m:r>
                    <m:r>
                      <a:rPr lang="en-US" sz="1100" b="0" i="1">
                        <a:latin typeface="Cambria Math"/>
                      </a:rPr>
                      <m:t>=0.5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/>
                              </a:rPr>
                              <m:t>𝑁𝑎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/>
                          </a:rPr>
                          <m:t>𝑂</m:t>
                        </m:r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4B368D-5FC8-4C4A-A66A-CEAD84FAB8A0}"/>
                </a:ext>
              </a:extLst>
            </xdr:cNvPr>
            <xdr:cNvSpPr txBox="1"/>
          </xdr:nvSpPr>
          <xdr:spPr>
            <a:xfrm>
              <a:off x="6902450" y="6705600"/>
              <a:ext cx="13779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𝑁𝑎𝑂𝐻=0.5</a:t>
              </a:r>
              <a:r>
                <a:rPr lang="en-US" sz="1100" b="0" i="0">
                  <a:latin typeface="Cambria Math" panose="02040503050406030204" pitchFamily="18" charset="0"/>
                </a:rPr>
                <a:t>[〖</a:t>
              </a:r>
              <a:r>
                <a:rPr lang="en-US" sz="1100" b="0" i="0">
                  <a:latin typeface="Cambria Math"/>
                </a:rPr>
                <a:t>𝑁𝑎</a:t>
              </a:r>
              <a:r>
                <a:rPr lang="en-US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/>
                </a:rPr>
                <a:t>2 𝑂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374650</xdr:colOff>
      <xdr:row>30</xdr:row>
      <xdr:rowOff>0</xdr:rowOff>
    </xdr:from>
    <xdr:ext cx="2457450" cy="43088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1DBC00-758B-2B43-9A52-20C93162CCFD}"/>
            </a:ext>
          </a:extLst>
        </xdr:cNvPr>
        <xdr:cNvSpPr txBox="1"/>
      </xdr:nvSpPr>
      <xdr:spPr>
        <a:xfrm>
          <a:off x="11296650" y="6121400"/>
          <a:ext cx="2457450" cy="4308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0" i="0">
              <a:latin typeface="Cambria Math"/>
            </a:rPr>
            <a:t>0.48=  (〖𝐻_2 𝑂〗_(𝑆𝑜𝑑𝑖𝑢𝑚 𝑆𝑖𝑙𝑖𝑐𝑎𝑡𝑒)+〖𝐻_2 𝑂〗_𝐴𝑑𝑑𝑒𝑑)/(𝑀𝑎𝑠𝑠 𝐶𝐹𝐴)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67AF-4702-7A41-8610-FFFA7132A459}">
  <dimension ref="A1:AB85"/>
  <sheetViews>
    <sheetView tabSelected="1" zoomScale="125" workbookViewId="0">
      <selection activeCell="B2" sqref="B2:M4"/>
    </sheetView>
  </sheetViews>
  <sheetFormatPr baseColWidth="10" defaultColWidth="8.83203125" defaultRowHeight="15" x14ac:dyDescent="0.2"/>
  <cols>
    <col min="2" max="2" width="21" customWidth="1"/>
    <col min="3" max="3" width="12.83203125" customWidth="1"/>
    <col min="4" max="7" width="10.6640625" customWidth="1"/>
    <col min="8" max="8" width="13.5" customWidth="1"/>
    <col min="9" max="9" width="12.5" customWidth="1"/>
    <col min="10" max="12" width="10.6640625" customWidth="1"/>
    <col min="13" max="13" width="10.5" customWidth="1"/>
    <col min="14" max="14" width="15.5" customWidth="1"/>
    <col min="16" max="16" width="19.83203125" customWidth="1"/>
    <col min="17" max="17" width="6.1640625" customWidth="1"/>
    <col min="18" max="18" width="12.6640625" customWidth="1"/>
  </cols>
  <sheetData>
    <row r="1" spans="2:28" ht="16" thickBot="1" x14ac:dyDescent="0.25"/>
    <row r="2" spans="2:28" x14ac:dyDescent="0.2">
      <c r="B2" s="1"/>
      <c r="C2" s="2" t="s">
        <v>0</v>
      </c>
      <c r="D2" s="3"/>
      <c r="E2" s="3"/>
      <c r="F2" s="3"/>
      <c r="G2" s="3"/>
      <c r="H2" s="3"/>
      <c r="I2" s="3"/>
      <c r="J2" s="3"/>
      <c r="K2" s="4"/>
      <c r="L2" s="3"/>
      <c r="M2" s="5"/>
    </row>
    <row r="3" spans="2:28" x14ac:dyDescent="0.2">
      <c r="B3" s="6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8" t="s">
        <v>9</v>
      </c>
      <c r="L3" s="7" t="s">
        <v>10</v>
      </c>
      <c r="M3" s="9" t="s">
        <v>11</v>
      </c>
    </row>
    <row r="4" spans="2:28" ht="16" thickBot="1" x14ac:dyDescent="0.25">
      <c r="B4" s="10" t="s">
        <v>12</v>
      </c>
      <c r="C4" s="11">
        <f>38.56</f>
        <v>38.56</v>
      </c>
      <c r="D4" s="11">
        <f>19.8</f>
        <v>19.8</v>
      </c>
      <c r="E4" s="11">
        <f>6.26</f>
        <v>6.26</v>
      </c>
      <c r="F4" s="11">
        <f>5.15</f>
        <v>5.15</v>
      </c>
      <c r="G4" s="11">
        <f>22.28</f>
        <v>22.28</v>
      </c>
      <c r="H4" s="11">
        <f>1.72</f>
        <v>1.72</v>
      </c>
      <c r="I4" s="11">
        <f>0.61</f>
        <v>0.61</v>
      </c>
      <c r="J4" s="11">
        <f>1.58</f>
        <v>1.58</v>
      </c>
      <c r="K4" s="11">
        <v>0.11</v>
      </c>
      <c r="L4" s="11">
        <f>0.41</f>
        <v>0.41</v>
      </c>
      <c r="M4" s="12">
        <f>SUM(C4:L4)</f>
        <v>96.48</v>
      </c>
    </row>
    <row r="5" spans="2:28" ht="16" thickBot="1" x14ac:dyDescent="0.25"/>
    <row r="6" spans="2:28" x14ac:dyDescent="0.2">
      <c r="B6" s="2" t="s">
        <v>13</v>
      </c>
      <c r="C6" s="3"/>
      <c r="D6" s="3"/>
      <c r="E6" s="3"/>
      <c r="F6" s="3"/>
      <c r="G6" s="3"/>
      <c r="H6" s="3"/>
      <c r="I6" s="3"/>
      <c r="J6" s="4"/>
      <c r="K6" s="3"/>
      <c r="L6" s="5"/>
    </row>
    <row r="7" spans="2:28" x14ac:dyDescent="0.2"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7" t="s">
        <v>8</v>
      </c>
      <c r="J7" s="8" t="s">
        <v>9</v>
      </c>
      <c r="K7" s="7" t="s">
        <v>10</v>
      </c>
      <c r="L7" s="9" t="s">
        <v>11</v>
      </c>
    </row>
    <row r="8" spans="2:28" ht="16" thickBot="1" x14ac:dyDescent="0.25">
      <c r="B8" s="11">
        <v>56.61</v>
      </c>
      <c r="C8" s="11">
        <v>39.159999999999997</v>
      </c>
      <c r="D8" s="11">
        <v>1.87</v>
      </c>
      <c r="E8" s="11">
        <v>0.09</v>
      </c>
      <c r="F8" s="11">
        <v>0.05</v>
      </c>
      <c r="G8" s="11">
        <v>0.05</v>
      </c>
      <c r="H8" s="11">
        <v>0.3</v>
      </c>
      <c r="I8" s="11">
        <v>0.01</v>
      </c>
      <c r="J8" s="11">
        <v>0.13</v>
      </c>
      <c r="K8" s="11">
        <v>0.19</v>
      </c>
      <c r="L8" s="12">
        <f>SUM(B8:K8)</f>
        <v>98.46</v>
      </c>
      <c r="P8" t="s">
        <v>14</v>
      </c>
      <c r="R8" t="s">
        <v>14</v>
      </c>
      <c r="T8" t="s">
        <v>15</v>
      </c>
    </row>
    <row r="9" spans="2:28" ht="17" x14ac:dyDescent="0.25">
      <c r="P9" t="s">
        <v>16</v>
      </c>
      <c r="Q9">
        <f>Q14/(S14*2)</f>
        <v>1.789471070291601</v>
      </c>
      <c r="R9" t="s">
        <v>17</v>
      </c>
      <c r="S9">
        <f>(U15*2)/Q14</f>
        <v>0.25150310283155164</v>
      </c>
      <c r="T9" t="s">
        <v>18</v>
      </c>
      <c r="V9">
        <f>W13/(U13+U14)</f>
        <v>22.764542256264228</v>
      </c>
      <c r="X9" t="s">
        <v>19</v>
      </c>
      <c r="Y9">
        <f>(Q13/(U13+U14))</f>
        <v>2.0699999999999998</v>
      </c>
      <c r="Z9" t="s">
        <v>20</v>
      </c>
      <c r="AA9" t="s">
        <v>21</v>
      </c>
      <c r="AB9">
        <f>(((U13+U14)*I40)/J12)*100</f>
        <v>7.2700000000000005</v>
      </c>
    </row>
    <row r="10" spans="2:28" ht="18" thickBot="1" x14ac:dyDescent="0.3">
      <c r="G10" s="89" t="s">
        <v>22</v>
      </c>
      <c r="H10" s="89"/>
      <c r="I10" s="89"/>
      <c r="J10" s="70">
        <v>260</v>
      </c>
      <c r="K10" s="70" t="s">
        <v>23</v>
      </c>
      <c r="P10" s="146" t="s">
        <v>24</v>
      </c>
      <c r="Q10" s="147"/>
      <c r="R10" s="146" t="s">
        <v>25</v>
      </c>
      <c r="S10" s="147"/>
      <c r="T10" s="146" t="s">
        <v>26</v>
      </c>
      <c r="U10" s="147"/>
      <c r="V10" s="146" t="s">
        <v>27</v>
      </c>
      <c r="W10" s="147"/>
    </row>
    <row r="11" spans="2:28" ht="16" thickBot="1" x14ac:dyDescent="0.25">
      <c r="B11" s="15" t="s">
        <v>28</v>
      </c>
      <c r="C11" s="3"/>
      <c r="D11" s="3"/>
      <c r="E11" s="5"/>
      <c r="G11" s="124" t="s">
        <v>29</v>
      </c>
      <c r="H11" s="125"/>
      <c r="I11" s="125"/>
      <c r="J11" s="4">
        <v>260</v>
      </c>
      <c r="K11" s="16" t="s">
        <v>23</v>
      </c>
      <c r="M11" s="93" t="s">
        <v>30</v>
      </c>
      <c r="N11" s="95"/>
      <c r="P11" s="17" t="s">
        <v>31</v>
      </c>
      <c r="Q11" s="17">
        <f>((C4/100)*$J$11)/$E$39</f>
        <v>1.6685889658363333</v>
      </c>
      <c r="R11" s="17" t="s">
        <v>31</v>
      </c>
      <c r="S11" s="18">
        <f>((D4/100)*J11)/E40</f>
        <v>0.50489755928636015</v>
      </c>
      <c r="T11" s="17" t="s">
        <v>32</v>
      </c>
      <c r="U11" s="17">
        <f>((J4/100)*J11)/E46</f>
        <v>6.6280580670807887E-2</v>
      </c>
      <c r="V11" s="17" t="s">
        <v>33</v>
      </c>
      <c r="W11" s="17">
        <f>((E13/100)*M13)/I41</f>
        <v>9.1996139487354647</v>
      </c>
    </row>
    <row r="12" spans="2:28" x14ac:dyDescent="0.2">
      <c r="B12" s="6"/>
      <c r="C12" s="7" t="s">
        <v>1</v>
      </c>
      <c r="D12" s="7" t="s">
        <v>8</v>
      </c>
      <c r="E12" s="9" t="s">
        <v>34</v>
      </c>
      <c r="G12" s="133" t="s">
        <v>35</v>
      </c>
      <c r="H12" s="134"/>
      <c r="I12" s="134"/>
      <c r="J12" s="70">
        <f>SUM(J10:J11)</f>
        <v>520</v>
      </c>
      <c r="K12" s="71" t="s">
        <v>23</v>
      </c>
      <c r="M12" s="135" t="s">
        <v>36</v>
      </c>
      <c r="N12" s="136"/>
      <c r="P12" s="17" t="s">
        <v>37</v>
      </c>
      <c r="Q12" s="17">
        <f>((B$8/100)*$J$10)/E39</f>
        <v>2.4496582301865879</v>
      </c>
      <c r="R12" s="17" t="s">
        <v>37</v>
      </c>
      <c r="S12" s="18">
        <f>((C8/100)*J10)/E40</f>
        <v>0.9985751728108011</v>
      </c>
      <c r="T12" s="17" t="s">
        <v>37</v>
      </c>
      <c r="U12" s="17">
        <f>((I8/100)*J10)/E46</f>
        <v>4.1949734601777141E-4</v>
      </c>
      <c r="V12" s="17" t="s">
        <v>38</v>
      </c>
      <c r="W12" s="17">
        <f>M17/I41</f>
        <v>4.6855990482315537</v>
      </c>
    </row>
    <row r="13" spans="2:28" ht="16" thickBot="1" x14ac:dyDescent="0.25">
      <c r="B13" s="10" t="s">
        <v>12</v>
      </c>
      <c r="C13" s="11">
        <v>28.7</v>
      </c>
      <c r="D13" s="11">
        <v>8.9</v>
      </c>
      <c r="E13" s="12">
        <v>62.7</v>
      </c>
      <c r="G13" s="10"/>
      <c r="H13" s="11"/>
      <c r="I13" s="11"/>
      <c r="J13" s="11"/>
      <c r="K13" s="12"/>
      <c r="M13" s="20">
        <f>(SUM(J15:J17))</f>
        <v>264.32794446311811</v>
      </c>
      <c r="N13" s="21" t="s">
        <v>39</v>
      </c>
      <c r="O13" s="22"/>
      <c r="P13" s="17" t="s">
        <v>40</v>
      </c>
      <c r="Q13" s="17">
        <f>((C13/100)*M13)/E39</f>
        <v>1.2625947220973681</v>
      </c>
      <c r="R13" s="17"/>
      <c r="S13" s="18"/>
      <c r="T13" s="17" t="s">
        <v>33</v>
      </c>
      <c r="U13" s="17">
        <f>((D13/100)*M13)/I40</f>
        <v>0.37956744365670664</v>
      </c>
      <c r="V13" s="23" t="s">
        <v>41</v>
      </c>
      <c r="W13" s="23">
        <f>SUM(W11:W12)</f>
        <v>13.885212996967018</v>
      </c>
    </row>
    <row r="14" spans="2:28" ht="18" thickBot="1" x14ac:dyDescent="0.3">
      <c r="B14" s="24" t="s">
        <v>42</v>
      </c>
      <c r="M14" s="137" t="s">
        <v>43</v>
      </c>
      <c r="N14" s="138"/>
      <c r="P14" s="23" t="s">
        <v>44</v>
      </c>
      <c r="Q14" s="23">
        <f>SUM(Q11:Q13)</f>
        <v>5.3808419181202893</v>
      </c>
      <c r="R14" s="23" t="s">
        <v>41</v>
      </c>
      <c r="S14" s="25">
        <f>SUM(S11:S13)</f>
        <v>1.5034727320971613</v>
      </c>
      <c r="T14" s="17" t="s">
        <v>45</v>
      </c>
      <c r="U14" s="17">
        <f>(((C17/100)*M15)/I42)/2</f>
        <v>0.23038169745313303</v>
      </c>
    </row>
    <row r="15" spans="2:28" x14ac:dyDescent="0.2">
      <c r="B15" s="15" t="s">
        <v>46</v>
      </c>
      <c r="C15" s="3"/>
      <c r="D15" s="3"/>
      <c r="E15" s="5"/>
      <c r="G15" s="139" t="s">
        <v>47</v>
      </c>
      <c r="H15" s="140"/>
      <c r="I15" s="140"/>
      <c r="J15" s="26">
        <f>D83</f>
        <v>165.73362117837505</v>
      </c>
      <c r="K15" s="16" t="s">
        <v>48</v>
      </c>
      <c r="L15" s="27">
        <v>165.19508520062104</v>
      </c>
      <c r="M15" s="20">
        <f>J18</f>
        <v>18.429203729275965</v>
      </c>
      <c r="N15" s="21" t="s">
        <v>39</v>
      </c>
      <c r="T15" s="23" t="s">
        <v>41</v>
      </c>
      <c r="U15" s="23">
        <f>SUM(U11:U14)</f>
        <v>0.67664921912666531</v>
      </c>
    </row>
    <row r="16" spans="2:28" x14ac:dyDescent="0.2">
      <c r="B16" s="6"/>
      <c r="C16" s="7" t="s">
        <v>49</v>
      </c>
      <c r="D16" s="7"/>
      <c r="E16" s="9"/>
      <c r="G16" s="141" t="s">
        <v>50</v>
      </c>
      <c r="H16" s="142"/>
      <c r="I16" s="142"/>
      <c r="J16" s="22">
        <f>C72-D83-J17</f>
        <v>75.069136227525547</v>
      </c>
      <c r="K16" s="19" t="s">
        <v>23</v>
      </c>
      <c r="L16" s="27">
        <v>75.615613162006753</v>
      </c>
      <c r="M16" s="137" t="s">
        <v>51</v>
      </c>
      <c r="N16" s="138"/>
    </row>
    <row r="17" spans="2:21" ht="16" thickBot="1" x14ac:dyDescent="0.25">
      <c r="B17" s="10" t="s">
        <v>12</v>
      </c>
      <c r="C17" s="11">
        <v>100</v>
      </c>
      <c r="D17" s="11"/>
      <c r="E17" s="12"/>
      <c r="G17" s="141" t="s">
        <v>52</v>
      </c>
      <c r="H17" s="142"/>
      <c r="I17" s="142"/>
      <c r="J17" s="22">
        <f>D76*I40</f>
        <v>23.525187057217515</v>
      </c>
      <c r="K17" s="19" t="s">
        <v>23</v>
      </c>
      <c r="L17" s="27">
        <v>23.448744151284327</v>
      </c>
      <c r="M17" s="28">
        <f>J19</f>
        <v>84.412378821624941</v>
      </c>
      <c r="N17" s="29" t="s">
        <v>39</v>
      </c>
    </row>
    <row r="18" spans="2:21" ht="16" thickBot="1" x14ac:dyDescent="0.25">
      <c r="B18" s="24" t="s">
        <v>53</v>
      </c>
      <c r="G18" s="141" t="s">
        <v>54</v>
      </c>
      <c r="H18" s="143"/>
      <c r="I18" s="143"/>
      <c r="J18" s="22">
        <f>D80</f>
        <v>18.429203729275965</v>
      </c>
      <c r="K18" s="19" t="s">
        <v>23</v>
      </c>
    </row>
    <row r="19" spans="2:21" ht="16" thickBot="1" x14ac:dyDescent="0.25">
      <c r="B19" s="24"/>
      <c r="G19" s="144" t="s">
        <v>55</v>
      </c>
      <c r="H19" s="145"/>
      <c r="I19" s="145"/>
      <c r="J19" s="30">
        <f>D85</f>
        <v>84.412378821624941</v>
      </c>
      <c r="K19" s="12" t="s">
        <v>48</v>
      </c>
      <c r="O19" s="119" t="s">
        <v>56</v>
      </c>
      <c r="P19" s="120"/>
      <c r="Q19" s="121">
        <f>O35</f>
        <v>0.48104999999999998</v>
      </c>
      <c r="R19" s="122"/>
      <c r="S19" s="122"/>
      <c r="T19" s="122"/>
      <c r="U19" s="123"/>
    </row>
    <row r="20" spans="2:21" ht="18" thickBot="1" x14ac:dyDescent="0.3">
      <c r="B20" s="130" t="s">
        <v>57</v>
      </c>
      <c r="C20" s="131"/>
      <c r="D20" s="132"/>
      <c r="O20" s="31" t="s">
        <v>58</v>
      </c>
      <c r="P20" s="32"/>
      <c r="Q20" s="33">
        <v>2.0699999999999998</v>
      </c>
      <c r="R20" s="34" t="s">
        <v>59</v>
      </c>
      <c r="S20" s="34"/>
      <c r="T20" s="34"/>
      <c r="U20" s="35"/>
    </row>
    <row r="21" spans="2:21" ht="17" x14ac:dyDescent="0.25">
      <c r="B21" s="78" t="s">
        <v>60</v>
      </c>
      <c r="C21" s="79"/>
      <c r="D21" s="80"/>
      <c r="G21" s="126" t="s">
        <v>61</v>
      </c>
      <c r="H21" s="127"/>
      <c r="I21" s="128" t="s">
        <v>62</v>
      </c>
      <c r="J21" s="129"/>
      <c r="O21" s="37" t="s">
        <v>63</v>
      </c>
      <c r="P21" s="38"/>
      <c r="Q21" s="39">
        <v>7.27</v>
      </c>
      <c r="R21" s="40" t="s">
        <v>64</v>
      </c>
      <c r="S21" s="40"/>
      <c r="T21" s="40"/>
      <c r="U21" s="41"/>
    </row>
    <row r="22" spans="2:21" ht="16" thickBot="1" x14ac:dyDescent="0.25">
      <c r="B22" s="78" t="s">
        <v>65</v>
      </c>
      <c r="C22" s="79"/>
      <c r="D22" s="80"/>
      <c r="G22" s="101"/>
      <c r="H22" s="102"/>
      <c r="I22" s="105"/>
      <c r="J22" s="106"/>
      <c r="O22" s="31" t="s">
        <v>66</v>
      </c>
      <c r="P22" s="32"/>
      <c r="Q22" s="42">
        <f>Q9</f>
        <v>1.789471070291601</v>
      </c>
      <c r="R22" s="34"/>
      <c r="S22" s="34"/>
      <c r="T22" s="34"/>
      <c r="U22" s="35"/>
    </row>
    <row r="23" spans="2:21" ht="16" thickTop="1" x14ac:dyDescent="0.2">
      <c r="B23" s="78" t="s">
        <v>67</v>
      </c>
      <c r="C23" s="79"/>
      <c r="D23" s="80"/>
      <c r="G23" s="107" t="s">
        <v>68</v>
      </c>
      <c r="H23" s="108"/>
      <c r="I23" s="109" t="s">
        <v>69</v>
      </c>
      <c r="J23" s="110"/>
      <c r="O23" s="31" t="s">
        <v>70</v>
      </c>
      <c r="P23" s="32"/>
      <c r="Q23" s="42">
        <f>S9</f>
        <v>0.25150310283155164</v>
      </c>
      <c r="R23" s="34"/>
      <c r="S23" s="34"/>
      <c r="T23" s="34"/>
      <c r="U23" s="35"/>
    </row>
    <row r="24" spans="2:21" ht="18" thickBot="1" x14ac:dyDescent="0.3">
      <c r="B24" s="78" t="s">
        <v>71</v>
      </c>
      <c r="C24" s="79"/>
      <c r="D24" s="80"/>
      <c r="G24" s="115">
        <v>2.0699999999999998</v>
      </c>
      <c r="H24" s="116"/>
      <c r="I24" s="117">
        <v>7.27</v>
      </c>
      <c r="J24" s="118"/>
      <c r="K24" s="96" t="s">
        <v>72</v>
      </c>
      <c r="L24" s="97"/>
      <c r="O24" s="43" t="s">
        <v>73</v>
      </c>
      <c r="P24" s="44"/>
      <c r="Q24" s="45">
        <f>V9</f>
        <v>22.764542256264228</v>
      </c>
      <c r="R24" s="46"/>
      <c r="S24" s="46"/>
      <c r="T24" s="46"/>
      <c r="U24" s="47"/>
    </row>
    <row r="25" spans="2:21" ht="17" x14ac:dyDescent="0.25">
      <c r="B25" s="78" t="s">
        <v>74</v>
      </c>
      <c r="C25" s="79"/>
      <c r="D25" s="80"/>
      <c r="G25" s="99" t="s">
        <v>75</v>
      </c>
      <c r="H25" s="100"/>
      <c r="I25" s="103" t="s">
        <v>76</v>
      </c>
      <c r="J25" s="104"/>
      <c r="K25" s="98"/>
      <c r="L25" s="97"/>
      <c r="O25" s="48" t="s">
        <v>77</v>
      </c>
      <c r="Q25">
        <f>Y9</f>
        <v>2.0699999999999998</v>
      </c>
    </row>
    <row r="26" spans="2:21" ht="16" thickBot="1" x14ac:dyDescent="0.25">
      <c r="B26" s="78" t="s">
        <v>78</v>
      </c>
      <c r="C26" s="79"/>
      <c r="D26" s="80"/>
      <c r="G26" s="101"/>
      <c r="H26" s="102"/>
      <c r="I26" s="105"/>
      <c r="J26" s="106"/>
      <c r="K26" s="98"/>
      <c r="L26" s="97"/>
    </row>
    <row r="27" spans="2:21" ht="16" thickTop="1" x14ac:dyDescent="0.2">
      <c r="B27" s="78" t="s">
        <v>79</v>
      </c>
      <c r="C27" s="79"/>
      <c r="D27" s="80"/>
      <c r="G27" s="107" t="s">
        <v>68</v>
      </c>
      <c r="H27" s="108"/>
      <c r="I27" s="109" t="s">
        <v>69</v>
      </c>
      <c r="J27" s="110"/>
      <c r="K27" s="98"/>
      <c r="L27" s="97"/>
    </row>
    <row r="28" spans="2:21" ht="16" thickBot="1" x14ac:dyDescent="0.25">
      <c r="B28" s="78" t="s">
        <v>80</v>
      </c>
      <c r="C28" s="79"/>
      <c r="D28" s="80"/>
      <c r="G28" s="111">
        <f>K39/(K40+J33)</f>
        <v>2.0483623693379793</v>
      </c>
      <c r="H28" s="112"/>
      <c r="I28" s="113">
        <f>0.0726*J12</f>
        <v>37.751999999999995</v>
      </c>
      <c r="J28" s="114"/>
      <c r="K28" s="98"/>
      <c r="L28" s="97"/>
    </row>
    <row r="29" spans="2:21" ht="16" thickBot="1" x14ac:dyDescent="0.25">
      <c r="B29" s="78" t="s">
        <v>81</v>
      </c>
      <c r="C29" s="79"/>
      <c r="D29" s="80"/>
    </row>
    <row r="30" spans="2:21" ht="16" thickBot="1" x14ac:dyDescent="0.25">
      <c r="B30" s="78" t="s">
        <v>82</v>
      </c>
      <c r="C30" s="79"/>
      <c r="D30" s="80"/>
      <c r="G30" s="93" t="s">
        <v>83</v>
      </c>
      <c r="H30" s="94"/>
      <c r="I30" s="94"/>
      <c r="J30" s="94"/>
      <c r="K30" s="95"/>
      <c r="M30" s="85" t="s">
        <v>84</v>
      </c>
      <c r="N30" s="86"/>
      <c r="O30" s="86"/>
      <c r="P30" s="87"/>
    </row>
    <row r="31" spans="2:21" x14ac:dyDescent="0.2">
      <c r="B31" s="78" t="s">
        <v>85</v>
      </c>
      <c r="C31" s="79"/>
      <c r="D31" s="80"/>
      <c r="G31" s="36"/>
      <c r="K31" s="19"/>
      <c r="M31" s="1"/>
      <c r="N31" s="4"/>
      <c r="O31" s="4"/>
      <c r="P31" s="16"/>
    </row>
    <row r="32" spans="2:21" ht="16" thickBot="1" x14ac:dyDescent="0.25">
      <c r="B32" s="88" t="s">
        <v>86</v>
      </c>
      <c r="C32" s="89"/>
      <c r="D32" s="90"/>
      <c r="G32" s="36"/>
      <c r="K32" s="19"/>
      <c r="M32" s="36"/>
      <c r="P32" s="19"/>
    </row>
    <row r="33" spans="2:16" x14ac:dyDescent="0.2">
      <c r="G33" s="36" t="s">
        <v>87</v>
      </c>
      <c r="J33">
        <f>D75-D76</f>
        <v>0.23038169745313303</v>
      </c>
      <c r="K33" s="19" t="s">
        <v>88</v>
      </c>
      <c r="M33" s="36" t="s">
        <v>89</v>
      </c>
      <c r="O33" s="27">
        <f>(J12*0.48015)-(J15)</f>
        <v>83.944378821624952</v>
      </c>
      <c r="P33" s="19" t="s">
        <v>23</v>
      </c>
    </row>
    <row r="34" spans="2:16" ht="16" thickBot="1" x14ac:dyDescent="0.25">
      <c r="B34" s="91" t="s">
        <v>90</v>
      </c>
      <c r="C34" s="91"/>
      <c r="D34" s="91"/>
      <c r="G34" s="36"/>
      <c r="K34" s="19"/>
      <c r="M34" s="10"/>
      <c r="N34" s="11"/>
      <c r="O34" s="11"/>
      <c r="P34" s="12"/>
    </row>
    <row r="35" spans="2:16" ht="16" thickBot="1" x14ac:dyDescent="0.25">
      <c r="G35" s="10" t="s">
        <v>91</v>
      </c>
      <c r="H35" s="11"/>
      <c r="I35" s="11">
        <f>J33*2</f>
        <v>0.46076339490626605</v>
      </c>
      <c r="J35" s="11" t="s">
        <v>88</v>
      </c>
      <c r="K35" s="12"/>
      <c r="M35" s="24" t="s">
        <v>92</v>
      </c>
      <c r="N35" s="24"/>
      <c r="O35" s="49">
        <f>((J19+J15))/J12</f>
        <v>0.48104999999999998</v>
      </c>
      <c r="P35" s="24" t="s">
        <v>93</v>
      </c>
    </row>
    <row r="36" spans="2:16" ht="20" customHeight="1" thickBot="1" x14ac:dyDescent="0.25"/>
    <row r="37" spans="2:16" ht="16" thickBot="1" x14ac:dyDescent="0.25">
      <c r="B37" s="82" t="s">
        <v>94</v>
      </c>
      <c r="C37" s="92"/>
      <c r="D37" s="82" t="s">
        <v>95</v>
      </c>
      <c r="E37" s="83"/>
      <c r="F37" s="83"/>
      <c r="G37" s="84"/>
      <c r="H37" s="82" t="s">
        <v>96</v>
      </c>
      <c r="I37" s="83"/>
      <c r="J37" s="83"/>
      <c r="K37" s="84"/>
    </row>
    <row r="38" spans="2:16" s="50" customFormat="1" ht="17" thickTop="1" thickBot="1" x14ac:dyDescent="0.25">
      <c r="B38" s="76" t="s">
        <v>97</v>
      </c>
      <c r="C38" s="77"/>
      <c r="D38" s="74" t="s">
        <v>98</v>
      </c>
      <c r="E38" s="75"/>
      <c r="F38" s="76" t="s">
        <v>99</v>
      </c>
      <c r="G38" s="77"/>
      <c r="H38" s="76" t="s">
        <v>100</v>
      </c>
      <c r="I38" s="81"/>
      <c r="J38" s="76" t="s">
        <v>99</v>
      </c>
      <c r="K38" s="77"/>
    </row>
    <row r="39" spans="2:16" x14ac:dyDescent="0.2">
      <c r="B39" s="51" t="s">
        <v>101</v>
      </c>
      <c r="C39" s="52">
        <v>28.0855</v>
      </c>
      <c r="D39" s="53" t="s">
        <v>1</v>
      </c>
      <c r="E39" s="52">
        <f>C39+(2*C40)</f>
        <v>60.084299999999999</v>
      </c>
      <c r="F39" s="51" t="s">
        <v>1</v>
      </c>
      <c r="G39" s="52">
        <f>((C4/100)*$J$11)/E39</f>
        <v>1.6685889658363333</v>
      </c>
      <c r="H39" s="51" t="s">
        <v>1</v>
      </c>
      <c r="I39" s="52">
        <f>E39</f>
        <v>60.084299999999999</v>
      </c>
      <c r="J39" s="51" t="s">
        <v>1</v>
      </c>
      <c r="K39" s="52">
        <f>J16/I39</f>
        <v>1.2493968678594167</v>
      </c>
      <c r="L39" s="24" t="s">
        <v>102</v>
      </c>
    </row>
    <row r="40" spans="2:16" x14ac:dyDescent="0.2">
      <c r="B40" s="54" t="s">
        <v>103</v>
      </c>
      <c r="C40" s="55">
        <v>15.9994</v>
      </c>
      <c r="D40" s="56" t="s">
        <v>2</v>
      </c>
      <c r="E40" s="55">
        <f>(2*C41)+(3*C40)</f>
        <v>101.9612772</v>
      </c>
      <c r="F40" s="54" t="s">
        <v>2</v>
      </c>
      <c r="G40" s="55">
        <f>((D4/100)*$J$11)/E40</f>
        <v>0.50489755928636015</v>
      </c>
      <c r="H40" s="54" t="s">
        <v>8</v>
      </c>
      <c r="I40" s="55">
        <f>E46</f>
        <v>61.978937999999999</v>
      </c>
      <c r="J40" s="54" t="s">
        <v>8</v>
      </c>
      <c r="K40" s="55">
        <f>J17/I40</f>
        <v>0.37956744365670664</v>
      </c>
      <c r="L40" s="49">
        <f>K39/K40</f>
        <v>3.2916333809424727</v>
      </c>
      <c r="M40" t="s">
        <v>104</v>
      </c>
    </row>
    <row r="41" spans="2:16" ht="16" x14ac:dyDescent="0.2">
      <c r="B41" s="54" t="s">
        <v>105</v>
      </c>
      <c r="C41" s="55">
        <v>26.9815386</v>
      </c>
      <c r="D41" s="56" t="s">
        <v>3</v>
      </c>
      <c r="E41" s="55">
        <f>(2*C42)+(3*C40)</f>
        <v>159.68819999999999</v>
      </c>
      <c r="F41" s="54" t="s">
        <v>3</v>
      </c>
      <c r="G41" s="55">
        <f>((E4/100)*$J$11)/E41</f>
        <v>0.10192362366161056</v>
      </c>
      <c r="H41" s="57" t="s">
        <v>34</v>
      </c>
      <c r="I41" s="58">
        <f>(2*C48)+C40</f>
        <v>18.015280000000001</v>
      </c>
      <c r="J41" s="57" t="s">
        <v>34</v>
      </c>
      <c r="K41" s="58">
        <f>J15/I41</f>
        <v>9.1996139487354647</v>
      </c>
    </row>
    <row r="42" spans="2:16" x14ac:dyDescent="0.2">
      <c r="B42" s="54" t="s">
        <v>106</v>
      </c>
      <c r="C42" s="55">
        <v>55.844999999999999</v>
      </c>
      <c r="D42" s="56" t="s">
        <v>4</v>
      </c>
      <c r="E42" s="55">
        <f>C43+C40</f>
        <v>40.304400000000001</v>
      </c>
      <c r="F42" s="54" t="s">
        <v>4</v>
      </c>
      <c r="G42" s="55">
        <f>((F4/100)*$J$11)/E42</f>
        <v>0.33222179216164988</v>
      </c>
      <c r="H42" s="54" t="s">
        <v>49</v>
      </c>
      <c r="I42" s="58">
        <f>C47+C40+C48</f>
        <v>39.997108999999995</v>
      </c>
      <c r="J42" s="54" t="s">
        <v>49</v>
      </c>
      <c r="K42" s="58">
        <f>((C17/100)*J18)/I42</f>
        <v>0.46076339490626605</v>
      </c>
    </row>
    <row r="43" spans="2:16" ht="16" thickBot="1" x14ac:dyDescent="0.25">
      <c r="B43" s="54" t="s">
        <v>107</v>
      </c>
      <c r="C43" s="55">
        <v>24.305</v>
      </c>
      <c r="D43" s="56" t="s">
        <v>5</v>
      </c>
      <c r="E43" s="55">
        <f>C44+C40</f>
        <v>56.077400000000004</v>
      </c>
      <c r="F43" s="54" t="s">
        <v>5</v>
      </c>
      <c r="G43" s="55">
        <f>((G4/100)*$J$11)/E43</f>
        <v>1.0330008167283076</v>
      </c>
      <c r="H43" s="59" t="s">
        <v>108</v>
      </c>
      <c r="I43" s="60">
        <f>(2*C47)+C49+(3*C40)</f>
        <v>105.988438</v>
      </c>
      <c r="J43" s="59" t="s">
        <v>108</v>
      </c>
      <c r="K43" s="60">
        <f>((3/100)*J18)/I43</f>
        <v>5.2163813554670828E-3</v>
      </c>
    </row>
    <row r="44" spans="2:16" x14ac:dyDescent="0.2">
      <c r="B44" s="54" t="s">
        <v>109</v>
      </c>
      <c r="C44" s="55">
        <v>40.078000000000003</v>
      </c>
      <c r="D44" s="56" t="s">
        <v>6</v>
      </c>
      <c r="E44" s="55">
        <f>C45+(3*C40)</f>
        <v>80.063199999999995</v>
      </c>
      <c r="F44" s="54" t="s">
        <v>6</v>
      </c>
      <c r="G44" s="55">
        <f>((H4/100)*$J$11)/E44</f>
        <v>5.5855873859650886E-2</v>
      </c>
    </row>
    <row r="45" spans="2:16" x14ac:dyDescent="0.2">
      <c r="B45" s="54" t="s">
        <v>110</v>
      </c>
      <c r="C45" s="55">
        <v>32.064999999999998</v>
      </c>
      <c r="D45" s="56" t="s">
        <v>7</v>
      </c>
      <c r="E45" s="55">
        <f>(2*C46)+C40</f>
        <v>94.195999999999998</v>
      </c>
      <c r="F45" s="54" t="s">
        <v>7</v>
      </c>
      <c r="G45" s="55">
        <f>((I4/100)*$J$11)/E45</f>
        <v>1.6837233003524566E-2</v>
      </c>
    </row>
    <row r="46" spans="2:16" ht="16" thickBot="1" x14ac:dyDescent="0.25">
      <c r="B46" s="54" t="s">
        <v>111</v>
      </c>
      <c r="C46" s="55">
        <f>39.0983</f>
        <v>39.098300000000002</v>
      </c>
      <c r="D46" s="14" t="s">
        <v>8</v>
      </c>
      <c r="E46" s="60">
        <f>(2*C47)+C40</f>
        <v>61.978937999999999</v>
      </c>
      <c r="F46" s="59" t="s">
        <v>8</v>
      </c>
      <c r="G46" s="60">
        <f>((J4/100)*$J$11)/E46</f>
        <v>6.6280580670807887E-2</v>
      </c>
    </row>
    <row r="47" spans="2:16" ht="16" thickBot="1" x14ac:dyDescent="0.25">
      <c r="B47" s="54" t="s">
        <v>112</v>
      </c>
      <c r="C47" s="61">
        <f>22.989769</f>
        <v>22.989768999999999</v>
      </c>
      <c r="D47" s="82" t="s">
        <v>113</v>
      </c>
      <c r="E47" s="83"/>
      <c r="F47" s="83"/>
      <c r="G47" s="84"/>
    </row>
    <row r="48" spans="2:16" ht="15" customHeight="1" thickTop="1" thickBot="1" x14ac:dyDescent="0.25">
      <c r="B48" s="54" t="s">
        <v>114</v>
      </c>
      <c r="C48" s="61">
        <v>1.0079400000000001</v>
      </c>
      <c r="D48" s="74" t="s">
        <v>98</v>
      </c>
      <c r="E48" s="75"/>
      <c r="F48" s="76" t="s">
        <v>99</v>
      </c>
      <c r="G48" s="77"/>
    </row>
    <row r="49" spans="1:7" ht="16" thickBot="1" x14ac:dyDescent="0.25">
      <c r="B49" s="59" t="s">
        <v>115</v>
      </c>
      <c r="C49" s="13">
        <v>12.0107</v>
      </c>
      <c r="D49" s="51" t="s">
        <v>1</v>
      </c>
      <c r="E49" s="52">
        <f>E39</f>
        <v>60.084299999999999</v>
      </c>
      <c r="F49" s="51" t="s">
        <v>1</v>
      </c>
      <c r="G49" s="52">
        <f>((B8/100)*$J$10)/E49</f>
        <v>2.4496582301865879</v>
      </c>
    </row>
    <row r="50" spans="1:7" x14ac:dyDescent="0.2">
      <c r="D50" s="54" t="s">
        <v>2</v>
      </c>
      <c r="E50" s="52">
        <f t="shared" ref="E50:E56" si="0">E40</f>
        <v>101.9612772</v>
      </c>
      <c r="F50" s="54" t="s">
        <v>2</v>
      </c>
      <c r="G50" s="55">
        <f>((C8/100)*$J$10)/E50</f>
        <v>0.9985751728108011</v>
      </c>
    </row>
    <row r="51" spans="1:7" x14ac:dyDescent="0.2">
      <c r="D51" s="54" t="s">
        <v>3</v>
      </c>
      <c r="E51" s="52">
        <f t="shared" si="0"/>
        <v>159.68819999999999</v>
      </c>
      <c r="F51" s="54" t="s">
        <v>3</v>
      </c>
      <c r="G51" s="55">
        <f>((D8/100)*$J$10)/E51</f>
        <v>3.0446833266327758E-2</v>
      </c>
    </row>
    <row r="52" spans="1:7" x14ac:dyDescent="0.2">
      <c r="D52" s="54" t="s">
        <v>4</v>
      </c>
      <c r="E52" s="52">
        <f t="shared" si="0"/>
        <v>40.304400000000001</v>
      </c>
      <c r="F52" s="54" t="s">
        <v>4</v>
      </c>
      <c r="G52" s="55">
        <f>((E8/100)*$J$10)/E52</f>
        <v>5.8058177270967929E-3</v>
      </c>
    </row>
    <row r="53" spans="1:7" x14ac:dyDescent="0.2">
      <c r="D53" s="54" t="s">
        <v>5</v>
      </c>
      <c r="E53" s="52">
        <f t="shared" si="0"/>
        <v>56.077400000000004</v>
      </c>
      <c r="F53" s="54" t="s">
        <v>5</v>
      </c>
      <c r="G53" s="55">
        <f>((F8/100)*$J$10)/E53</f>
        <v>2.3182244540581412E-3</v>
      </c>
    </row>
    <row r="54" spans="1:7" x14ac:dyDescent="0.2">
      <c r="D54" s="54" t="s">
        <v>6</v>
      </c>
      <c r="E54" s="52">
        <f t="shared" si="0"/>
        <v>80.063199999999995</v>
      </c>
      <c r="F54" s="54" t="s">
        <v>6</v>
      </c>
      <c r="G54" s="55">
        <f>((G8/100)*$J$12)/E54</f>
        <v>3.2474345267238885E-3</v>
      </c>
    </row>
    <row r="55" spans="1:7" x14ac:dyDescent="0.2">
      <c r="D55" s="54" t="s">
        <v>7</v>
      </c>
      <c r="E55" s="52">
        <f t="shared" si="0"/>
        <v>94.195999999999998</v>
      </c>
      <c r="F55" s="54" t="s">
        <v>7</v>
      </c>
      <c r="G55" s="55">
        <f>((H8/100)*$J$10)/E55</f>
        <v>8.2806063951760163E-3</v>
      </c>
    </row>
    <row r="56" spans="1:7" ht="16" thickBot="1" x14ac:dyDescent="0.25">
      <c r="D56" s="59" t="s">
        <v>8</v>
      </c>
      <c r="E56" s="62">
        <f t="shared" si="0"/>
        <v>61.978937999999999</v>
      </c>
      <c r="F56" s="59" t="s">
        <v>8</v>
      </c>
      <c r="G56" s="60">
        <f>((I8/100)*$J$10)/E56</f>
        <v>4.1949734601777141E-4</v>
      </c>
    </row>
    <row r="60" spans="1:7" ht="19" x14ac:dyDescent="0.25">
      <c r="A60" s="63" t="s">
        <v>116</v>
      </c>
    </row>
    <row r="61" spans="1:7" x14ac:dyDescent="0.2">
      <c r="A61" s="64" t="s">
        <v>117</v>
      </c>
      <c r="B61" s="64" t="s">
        <v>118</v>
      </c>
      <c r="C61" s="64">
        <v>2.0699999999999998</v>
      </c>
      <c r="D61" s="64" t="s">
        <v>119</v>
      </c>
    </row>
    <row r="62" spans="1:7" x14ac:dyDescent="0.2">
      <c r="A62" s="64" t="s">
        <v>120</v>
      </c>
      <c r="B62" s="64" t="s">
        <v>121</v>
      </c>
      <c r="C62" s="65">
        <v>0.48104999999999998</v>
      </c>
      <c r="D62" s="64" t="s">
        <v>122</v>
      </c>
      <c r="E62" s="66"/>
    </row>
    <row r="63" spans="1:7" x14ac:dyDescent="0.2">
      <c r="A63" s="64" t="s">
        <v>123</v>
      </c>
      <c r="B63" s="64" t="s">
        <v>124</v>
      </c>
      <c r="C63" s="67">
        <v>7.2700000000000001E-2</v>
      </c>
      <c r="D63" s="64" t="s">
        <v>122</v>
      </c>
      <c r="E63" s="66"/>
    </row>
    <row r="64" spans="1:7" x14ac:dyDescent="0.2">
      <c r="A64" s="64" t="s">
        <v>125</v>
      </c>
      <c r="B64" s="64"/>
      <c r="C64" s="72">
        <f>J12</f>
        <v>520</v>
      </c>
      <c r="D64" s="72" t="s">
        <v>23</v>
      </c>
    </row>
    <row r="66" spans="2:5" x14ac:dyDescent="0.2">
      <c r="B66" t="s">
        <v>126</v>
      </c>
      <c r="C66">
        <f>C63*J12</f>
        <v>37.804000000000002</v>
      </c>
      <c r="D66" t="s">
        <v>23</v>
      </c>
    </row>
    <row r="67" spans="2:5" x14ac:dyDescent="0.2">
      <c r="C67">
        <f>C66/E46</f>
        <v>0.60994914110983967</v>
      </c>
      <c r="D67" t="s">
        <v>127</v>
      </c>
    </row>
    <row r="69" spans="2:5" x14ac:dyDescent="0.2">
      <c r="B69" t="s">
        <v>128</v>
      </c>
      <c r="C69">
        <f>C61*C67</f>
        <v>1.2625947220973681</v>
      </c>
      <c r="D69" t="s">
        <v>127</v>
      </c>
    </row>
    <row r="71" spans="2:5" x14ac:dyDescent="0.2">
      <c r="B71" s="68" t="s">
        <v>129</v>
      </c>
      <c r="C71" s="68"/>
      <c r="D71" s="68"/>
    </row>
    <row r="72" spans="2:5" x14ac:dyDescent="0.2">
      <c r="B72" s="68"/>
      <c r="C72" s="70">
        <f>(C69*E39)/0.287</f>
        <v>264.32794446311811</v>
      </c>
      <c r="D72" s="70" t="s">
        <v>23</v>
      </c>
    </row>
    <row r="74" spans="2:5" x14ac:dyDescent="0.2">
      <c r="B74" t="s">
        <v>49</v>
      </c>
    </row>
    <row r="75" spans="2:5" x14ac:dyDescent="0.2">
      <c r="C75" t="s">
        <v>130</v>
      </c>
      <c r="D75">
        <f>C66/E46</f>
        <v>0.60994914110983967</v>
      </c>
      <c r="E75" t="s">
        <v>127</v>
      </c>
    </row>
    <row r="76" spans="2:5" ht="32" x14ac:dyDescent="0.2">
      <c r="C76" s="69" t="s">
        <v>131</v>
      </c>
      <c r="D76">
        <f>C72*8.9%/E46</f>
        <v>0.37956744365670664</v>
      </c>
      <c r="E76" t="s">
        <v>127</v>
      </c>
    </row>
    <row r="77" spans="2:5" ht="32" x14ac:dyDescent="0.2">
      <c r="C77" s="50" t="s">
        <v>132</v>
      </c>
      <c r="D77">
        <f>D75-D76</f>
        <v>0.23038169745313303</v>
      </c>
      <c r="E77" t="s">
        <v>127</v>
      </c>
    </row>
    <row r="79" spans="2:5" x14ac:dyDescent="0.2">
      <c r="C79" t="s">
        <v>133</v>
      </c>
      <c r="D79">
        <f>D77*2</f>
        <v>0.46076339490626605</v>
      </c>
      <c r="E79" t="s">
        <v>127</v>
      </c>
    </row>
    <row r="80" spans="2:5" x14ac:dyDescent="0.2">
      <c r="C80" s="70" t="s">
        <v>134</v>
      </c>
      <c r="D80" s="70">
        <f>D79*I42</f>
        <v>18.429203729275965</v>
      </c>
      <c r="E80" s="70" t="s">
        <v>23</v>
      </c>
    </row>
    <row r="82" spans="2:5" x14ac:dyDescent="0.2">
      <c r="B82" t="s">
        <v>135</v>
      </c>
      <c r="C82" t="s">
        <v>136</v>
      </c>
      <c r="D82">
        <f>C62*J12</f>
        <v>250.14599999999999</v>
      </c>
      <c r="E82" t="s">
        <v>23</v>
      </c>
    </row>
    <row r="83" spans="2:5" ht="32" x14ac:dyDescent="0.2">
      <c r="C83" s="50" t="s">
        <v>137</v>
      </c>
      <c r="D83">
        <f>C72*62.7%</f>
        <v>165.73362117837505</v>
      </c>
      <c r="E83" t="s">
        <v>23</v>
      </c>
    </row>
    <row r="85" spans="2:5" ht="32" x14ac:dyDescent="0.2">
      <c r="C85" s="73" t="s">
        <v>138</v>
      </c>
      <c r="D85" s="70">
        <f>D82-D83</f>
        <v>84.412378821624941</v>
      </c>
      <c r="E85" s="70" t="s">
        <v>23</v>
      </c>
    </row>
  </sheetData>
  <mergeCells count="58">
    <mergeCell ref="T10:U10"/>
    <mergeCell ref="V10:W10"/>
    <mergeCell ref="G18:I18"/>
    <mergeCell ref="G19:I19"/>
    <mergeCell ref="G10:I10"/>
    <mergeCell ref="P10:Q10"/>
    <mergeCell ref="R10:S10"/>
    <mergeCell ref="O19:P19"/>
    <mergeCell ref="Q19:U19"/>
    <mergeCell ref="G11:I11"/>
    <mergeCell ref="M11:N11"/>
    <mergeCell ref="B21:D21"/>
    <mergeCell ref="G21:H22"/>
    <mergeCell ref="I21:J22"/>
    <mergeCell ref="B22:D22"/>
    <mergeCell ref="B20:D20"/>
    <mergeCell ref="G12:I12"/>
    <mergeCell ref="M12:N12"/>
    <mergeCell ref="M14:N14"/>
    <mergeCell ref="G15:I15"/>
    <mergeCell ref="G16:I16"/>
    <mergeCell ref="M16:N16"/>
    <mergeCell ref="G17:I17"/>
    <mergeCell ref="B23:D23"/>
    <mergeCell ref="G23:H23"/>
    <mergeCell ref="I23:J23"/>
    <mergeCell ref="B24:D24"/>
    <mergeCell ref="G24:H24"/>
    <mergeCell ref="I24:J24"/>
    <mergeCell ref="K24:L28"/>
    <mergeCell ref="B25:D25"/>
    <mergeCell ref="G25:H26"/>
    <mergeCell ref="I25:J26"/>
    <mergeCell ref="B26:D26"/>
    <mergeCell ref="B27:D27"/>
    <mergeCell ref="G27:H27"/>
    <mergeCell ref="I27:J27"/>
    <mergeCell ref="B28:D28"/>
    <mergeCell ref="G28:H28"/>
    <mergeCell ref="I28:J28"/>
    <mergeCell ref="B29:D29"/>
    <mergeCell ref="H38:I38"/>
    <mergeCell ref="J38:K38"/>
    <mergeCell ref="D47:G47"/>
    <mergeCell ref="M30:P30"/>
    <mergeCell ref="B31:D31"/>
    <mergeCell ref="B32:D32"/>
    <mergeCell ref="B34:D34"/>
    <mergeCell ref="B37:C37"/>
    <mergeCell ref="D37:G37"/>
    <mergeCell ref="H37:K37"/>
    <mergeCell ref="B30:D30"/>
    <mergeCell ref="G30:K30"/>
    <mergeCell ref="D48:E48"/>
    <mergeCell ref="F48:G48"/>
    <mergeCell ref="B38:C38"/>
    <mergeCell ref="D38:E38"/>
    <mergeCell ref="F38:G38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CFA-MK-A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Tao, Mingjiang</cp:lastModifiedBy>
  <cp:revision/>
  <dcterms:created xsi:type="dcterms:W3CDTF">2025-03-07T20:02:52Z</dcterms:created>
  <dcterms:modified xsi:type="dcterms:W3CDTF">2026-03-03T14:42:50Z</dcterms:modified>
  <cp:category/>
  <cp:contentStatus/>
</cp:coreProperties>
</file>